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grades" sheetId="1" state="visible" r:id="rId1"/>
    <sheet xmlns:r="http://schemas.openxmlformats.org/officeDocument/2006/relationships" name="LevelP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Upgrade</t>
        </is>
      </c>
      <c r="C1" t="inlineStr">
        <is>
          <t>Base Value</t>
        </is>
      </c>
      <c r="D1" t="inlineStr">
        <is>
          <t>Per Level</t>
        </is>
      </c>
      <c r="E1" t="inlineStr">
        <is>
          <t>Max Level</t>
        </is>
      </c>
      <c r="F1" t="inlineStr">
        <is>
          <t>Base Cost</t>
        </is>
      </c>
      <c r="G1" t="inlineStr">
        <is>
          <t>Cost Growth</t>
        </is>
      </c>
      <c r="H1" t="inlineStr">
        <is>
          <t>Description</t>
        </is>
      </c>
    </row>
    <row r="2">
      <c r="A2" t="inlineStr">
        <is>
          <t>Attack</t>
        </is>
      </c>
      <c r="B2" t="inlineStr">
        <is>
          <t>💪 Stronger</t>
        </is>
      </c>
      <c r="C2" t="n">
        <v>10</v>
      </c>
      <c r="D2" t="n">
        <v>2</v>
      </c>
      <c r="E2" t="n">
        <v>50</v>
      </c>
      <c r="F2" t="n">
        <v>30</v>
      </c>
      <c r="G2" t="n">
        <v>1.18</v>
      </c>
      <c r="H2" t="inlineStr">
        <is>
          <t>Increase damage</t>
        </is>
      </c>
    </row>
    <row r="3">
      <c r="A3" t="inlineStr">
        <is>
          <t>Attack</t>
        </is>
      </c>
      <c r="B3" t="inlineStr">
        <is>
          <t>⚡ Shoot Faster</t>
        </is>
      </c>
      <c r="C3" t="n">
        <v>1</v>
      </c>
      <c r="D3" t="n">
        <v>0.08</v>
      </c>
      <c r="E3" t="n">
        <v>30</v>
      </c>
      <c r="F3" t="n">
        <v>40</v>
      </c>
      <c r="G3" t="n">
        <v>1.2</v>
      </c>
      <c r="H3" t="inlineStr">
        <is>
          <t>Increase fire rate</t>
        </is>
      </c>
    </row>
    <row r="4">
      <c r="A4" t="inlineStr">
        <is>
          <t>Attack</t>
        </is>
      </c>
      <c r="B4" t="inlineStr">
        <is>
          <t>➕ More Bullets</t>
        </is>
      </c>
      <c r="C4" t="n">
        <v>1</v>
      </c>
      <c r="D4" t="n">
        <v>1</v>
      </c>
      <c r="E4" t="n">
        <v>10</v>
      </c>
      <c r="F4" t="n">
        <v>150</v>
      </c>
      <c r="G4" t="n">
        <v>1.35</v>
      </c>
      <c r="H4" t="inlineStr">
        <is>
          <t>Shoot extra bullets</t>
        </is>
      </c>
    </row>
    <row r="5">
      <c r="A5" t="inlineStr">
        <is>
          <t>Attack</t>
        </is>
      </c>
      <c r="B5" t="inlineStr">
        <is>
          <t>🎯 Longer Range</t>
        </is>
      </c>
      <c r="C5" t="n">
        <v>3</v>
      </c>
      <c r="D5" t="n">
        <v>0.2</v>
      </c>
      <c r="E5" t="n">
        <v>20</v>
      </c>
      <c r="F5" t="n">
        <v>50</v>
      </c>
      <c r="G5" t="n">
        <v>1.18</v>
      </c>
      <c r="H5" t="inlineStr">
        <is>
          <t>Increase attack range</t>
        </is>
      </c>
    </row>
    <row r="6">
      <c r="A6" t="inlineStr">
        <is>
          <t>Attack</t>
        </is>
      </c>
      <c r="B6" t="inlineStr">
        <is>
          <t>💥 Bigger Boom</t>
        </is>
      </c>
      <c r="C6" t="n">
        <v>0</v>
      </c>
      <c r="D6" t="n">
        <v>0.3</v>
      </c>
      <c r="E6" t="n">
        <v>10</v>
      </c>
      <c r="F6" t="n">
        <v>120</v>
      </c>
      <c r="G6" t="n">
        <v>1.25</v>
      </c>
      <c r="H6" t="inlineStr">
        <is>
          <t>Increase explosion radius</t>
        </is>
      </c>
    </row>
    <row r="7">
      <c r="A7" t="inlineStr">
        <is>
          <t>Survival</t>
        </is>
      </c>
      <c r="B7" t="inlineStr">
        <is>
          <t>❤️ More Hearts</t>
        </is>
      </c>
      <c r="C7" t="n">
        <v>100</v>
      </c>
      <c r="D7" t="n">
        <v>20</v>
      </c>
      <c r="E7" t="n">
        <v>30</v>
      </c>
      <c r="F7" t="n">
        <v>35</v>
      </c>
      <c r="G7" t="n">
        <v>1.18</v>
      </c>
      <c r="H7" t="inlineStr">
        <is>
          <t>Increase HP</t>
        </is>
      </c>
    </row>
    <row r="8">
      <c r="A8" t="inlineStr">
        <is>
          <t>Survival</t>
        </is>
      </c>
      <c r="B8" t="inlineStr">
        <is>
          <t>👟 Run Faster</t>
        </is>
      </c>
      <c r="C8" t="n">
        <v>4</v>
      </c>
      <c r="D8" t="n">
        <v>0.15</v>
      </c>
      <c r="E8" t="n">
        <v>15</v>
      </c>
      <c r="F8" t="n">
        <v>45</v>
      </c>
      <c r="G8" t="n">
        <v>1.2</v>
      </c>
      <c r="H8" t="inlineStr">
        <is>
          <t>Increase move speed</t>
        </is>
      </c>
    </row>
    <row r="9">
      <c r="A9" t="inlineStr">
        <is>
          <t>Survival</t>
        </is>
      </c>
      <c r="B9" t="inlineStr">
        <is>
          <t>🩹 Heal</t>
        </is>
      </c>
      <c r="C9" t="n">
        <v>0</v>
      </c>
      <c r="D9" t="n">
        <v>3</v>
      </c>
      <c r="E9" t="n">
        <v>15</v>
      </c>
      <c r="F9" t="n">
        <v>90</v>
      </c>
      <c r="G9" t="n">
        <v>1.2</v>
      </c>
      <c r="H9" t="inlineStr">
        <is>
          <t>HP regen</t>
        </is>
      </c>
    </row>
    <row r="10">
      <c r="A10" t="inlineStr">
        <is>
          <t>Survival</t>
        </is>
      </c>
      <c r="B10" t="inlineStr">
        <is>
          <t>🛡 Shield</t>
        </is>
      </c>
      <c r="C10" t="n">
        <v>0</v>
      </c>
      <c r="D10" t="n">
        <v>5</v>
      </c>
      <c r="E10" t="n">
        <v>15</v>
      </c>
      <c r="F10" t="n">
        <v>110</v>
      </c>
      <c r="G10" t="n">
        <v>1.22</v>
      </c>
      <c r="H10" t="inlineStr">
        <is>
          <t>Damage reduction %</t>
        </is>
      </c>
    </row>
    <row r="11">
      <c r="A11" t="inlineStr">
        <is>
          <t>Bonus</t>
        </is>
      </c>
      <c r="B11" t="inlineStr">
        <is>
          <t>🧲 Bigger Magnet</t>
        </is>
      </c>
      <c r="C11" t="n">
        <v>1.5</v>
      </c>
      <c r="D11" t="n">
        <v>0.2</v>
      </c>
      <c r="E11" t="n">
        <v>15</v>
      </c>
      <c r="F11" t="n">
        <v>60</v>
      </c>
      <c r="G11" t="n">
        <v>1.18</v>
      </c>
      <c r="H11" t="inlineStr">
        <is>
          <t>Pickup range</t>
        </is>
      </c>
    </row>
    <row r="12">
      <c r="A12" t="inlineStr">
        <is>
          <t>Bonus</t>
        </is>
      </c>
      <c r="B12" t="inlineStr">
        <is>
          <t>🪙 More Coins</t>
        </is>
      </c>
      <c r="C12" t="n">
        <v>0</v>
      </c>
      <c r="D12" t="n">
        <v>5</v>
      </c>
      <c r="E12" t="n">
        <v>20</v>
      </c>
      <c r="F12" t="n">
        <v>70</v>
      </c>
      <c r="G12" t="n">
        <v>1.22</v>
      </c>
      <c r="H12" t="inlineStr">
        <is>
          <t>Coin bonus %</t>
        </is>
      </c>
    </row>
    <row r="13">
      <c r="A13" t="inlineStr">
        <is>
          <t>Bonus</t>
        </is>
      </c>
      <c r="B13" t="inlineStr">
        <is>
          <t>🎁 Lucky Box</t>
        </is>
      </c>
      <c r="C13" t="n">
        <v>0</v>
      </c>
      <c r="D13" t="n">
        <v>5</v>
      </c>
      <c r="E13" t="n">
        <v>10</v>
      </c>
      <c r="F13" t="n">
        <v>150</v>
      </c>
      <c r="G13" t="n">
        <v>1.25</v>
      </c>
      <c r="H13" t="inlineStr">
        <is>
          <t>Chest chance %</t>
        </is>
      </c>
    </row>
    <row r="14">
      <c r="A14" t="inlineStr">
        <is>
          <t>Bonus</t>
        </is>
      </c>
      <c r="B14" t="inlineStr">
        <is>
          <t>⭐ Lucky</t>
        </is>
      </c>
      <c r="C14" t="n">
        <v>0</v>
      </c>
      <c r="D14" t="n">
        <v>5</v>
      </c>
      <c r="E14" t="n">
        <v>10</v>
      </c>
      <c r="F14" t="n">
        <v>180</v>
      </c>
      <c r="G14" t="n">
        <v>1.3</v>
      </c>
      <c r="H14" t="inlineStr">
        <is>
          <t>Rare drop chance 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Upgrade</t>
        </is>
      </c>
      <c r="B1" t="inlineStr">
        <is>
          <t>Level</t>
        </is>
      </c>
      <c r="C1" t="inlineStr">
        <is>
          <t>Value</t>
        </is>
      </c>
      <c r="D1" t="inlineStr">
        <is>
          <t>Upgrade Cost</t>
        </is>
      </c>
    </row>
    <row r="2">
      <c r="A2" t="inlineStr">
        <is>
          <t>💪 Stronger</t>
        </is>
      </c>
      <c r="B2" t="n">
        <v>1</v>
      </c>
      <c r="C2">
        <f>10+(2*(B2-1))</f>
        <v/>
      </c>
      <c r="D2">
        <f>ROUND(30*(1.18^(B2-1)),0)</f>
        <v/>
      </c>
    </row>
    <row r="3">
      <c r="A3" t="inlineStr">
        <is>
          <t>💪 Stronger</t>
        </is>
      </c>
      <c r="B3" t="n">
        <v>2</v>
      </c>
      <c r="C3">
        <f>10+(2*(B3-1))</f>
        <v/>
      </c>
      <c r="D3">
        <f>ROUND(30*(1.18^(B3-1)),0)</f>
        <v/>
      </c>
    </row>
    <row r="4">
      <c r="A4" t="inlineStr">
        <is>
          <t>💪 Stronger</t>
        </is>
      </c>
      <c r="B4" t="n">
        <v>3</v>
      </c>
      <c r="C4">
        <f>10+(2*(B4-1))</f>
        <v/>
      </c>
      <c r="D4">
        <f>ROUND(30*(1.18^(B4-1)),0)</f>
        <v/>
      </c>
    </row>
    <row r="5">
      <c r="A5" t="inlineStr">
        <is>
          <t>💪 Stronger</t>
        </is>
      </c>
      <c r="B5" t="n">
        <v>4</v>
      </c>
      <c r="C5">
        <f>10+(2*(B5-1))</f>
        <v/>
      </c>
      <c r="D5">
        <f>ROUND(30*(1.18^(B5-1)),0)</f>
        <v/>
      </c>
    </row>
    <row r="6">
      <c r="A6" t="inlineStr">
        <is>
          <t>💪 Stronger</t>
        </is>
      </c>
      <c r="B6" t="n">
        <v>5</v>
      </c>
      <c r="C6">
        <f>10+(2*(B6-1))</f>
        <v/>
      </c>
      <c r="D6">
        <f>ROUND(30*(1.18^(B6-1)),0)</f>
        <v/>
      </c>
    </row>
    <row r="7">
      <c r="A7" t="inlineStr">
        <is>
          <t>💪 Stronger</t>
        </is>
      </c>
      <c r="B7" t="n">
        <v>6</v>
      </c>
      <c r="C7">
        <f>10+(2*(B7-1))</f>
        <v/>
      </c>
      <c r="D7">
        <f>ROUND(30*(1.18^(B7-1)),0)</f>
        <v/>
      </c>
    </row>
    <row r="8">
      <c r="A8" t="inlineStr">
        <is>
          <t>💪 Stronger</t>
        </is>
      </c>
      <c r="B8" t="n">
        <v>7</v>
      </c>
      <c r="C8">
        <f>10+(2*(B8-1))</f>
        <v/>
      </c>
      <c r="D8">
        <f>ROUND(30*(1.18^(B8-1)),0)</f>
        <v/>
      </c>
    </row>
    <row r="9">
      <c r="A9" t="inlineStr">
        <is>
          <t>💪 Stronger</t>
        </is>
      </c>
      <c r="B9" t="n">
        <v>8</v>
      </c>
      <c r="C9">
        <f>10+(2*(B9-1))</f>
        <v/>
      </c>
      <c r="D9">
        <f>ROUND(30*(1.18^(B9-1)),0)</f>
        <v/>
      </c>
    </row>
    <row r="10">
      <c r="A10" t="inlineStr">
        <is>
          <t>💪 Stronger</t>
        </is>
      </c>
      <c r="B10" t="n">
        <v>9</v>
      </c>
      <c r="C10">
        <f>10+(2*(B10-1))</f>
        <v/>
      </c>
      <c r="D10">
        <f>ROUND(30*(1.18^(B10-1)),0)</f>
        <v/>
      </c>
    </row>
    <row r="11">
      <c r="A11" t="inlineStr">
        <is>
          <t>💪 Stronger</t>
        </is>
      </c>
      <c r="B11" t="n">
        <v>10</v>
      </c>
      <c r="C11">
        <f>10+(2*(B11-1))</f>
        <v/>
      </c>
      <c r="D11">
        <f>ROUND(30*(1.18^(B11-1)),0)</f>
        <v/>
      </c>
    </row>
    <row r="12">
      <c r="A12" t="inlineStr">
        <is>
          <t>⚡ Shoot Faster</t>
        </is>
      </c>
      <c r="B12" t="n">
        <v>1</v>
      </c>
      <c r="C12">
        <f>1.0+(0.08*(B12-1))</f>
        <v/>
      </c>
      <c r="D12">
        <f>ROUND(40*(1.2^(B12-1)),0)</f>
        <v/>
      </c>
    </row>
    <row r="13">
      <c r="A13" t="inlineStr">
        <is>
          <t>⚡ Shoot Faster</t>
        </is>
      </c>
      <c r="B13" t="n">
        <v>2</v>
      </c>
      <c r="C13">
        <f>1.0+(0.08*(B13-1))</f>
        <v/>
      </c>
      <c r="D13">
        <f>ROUND(40*(1.2^(B13-1)),0)</f>
        <v/>
      </c>
    </row>
    <row r="14">
      <c r="A14" t="inlineStr">
        <is>
          <t>⚡ Shoot Faster</t>
        </is>
      </c>
      <c r="B14" t="n">
        <v>3</v>
      </c>
      <c r="C14">
        <f>1.0+(0.08*(B14-1))</f>
        <v/>
      </c>
      <c r="D14">
        <f>ROUND(40*(1.2^(B14-1)),0)</f>
        <v/>
      </c>
    </row>
    <row r="15">
      <c r="A15" t="inlineStr">
        <is>
          <t>⚡ Shoot Faster</t>
        </is>
      </c>
      <c r="B15" t="n">
        <v>4</v>
      </c>
      <c r="C15">
        <f>1.0+(0.08*(B15-1))</f>
        <v/>
      </c>
      <c r="D15">
        <f>ROUND(40*(1.2^(B15-1)),0)</f>
        <v/>
      </c>
    </row>
    <row r="16">
      <c r="A16" t="inlineStr">
        <is>
          <t>⚡ Shoot Faster</t>
        </is>
      </c>
      <c r="B16" t="n">
        <v>5</v>
      </c>
      <c r="C16">
        <f>1.0+(0.08*(B16-1))</f>
        <v/>
      </c>
      <c r="D16">
        <f>ROUND(40*(1.2^(B16-1)),0)</f>
        <v/>
      </c>
    </row>
    <row r="17">
      <c r="A17" t="inlineStr">
        <is>
          <t>⚡ Shoot Faster</t>
        </is>
      </c>
      <c r="B17" t="n">
        <v>6</v>
      </c>
      <c r="C17">
        <f>1.0+(0.08*(B17-1))</f>
        <v/>
      </c>
      <c r="D17">
        <f>ROUND(40*(1.2^(B17-1)),0)</f>
        <v/>
      </c>
    </row>
    <row r="18">
      <c r="A18" t="inlineStr">
        <is>
          <t>⚡ Shoot Faster</t>
        </is>
      </c>
      <c r="B18" t="n">
        <v>7</v>
      </c>
      <c r="C18">
        <f>1.0+(0.08*(B18-1))</f>
        <v/>
      </c>
      <c r="D18">
        <f>ROUND(40*(1.2^(B18-1)),0)</f>
        <v/>
      </c>
    </row>
    <row r="19">
      <c r="A19" t="inlineStr">
        <is>
          <t>⚡ Shoot Faster</t>
        </is>
      </c>
      <c r="B19" t="n">
        <v>8</v>
      </c>
      <c r="C19">
        <f>1.0+(0.08*(B19-1))</f>
        <v/>
      </c>
      <c r="D19">
        <f>ROUND(40*(1.2^(B19-1)),0)</f>
        <v/>
      </c>
    </row>
    <row r="20">
      <c r="A20" t="inlineStr">
        <is>
          <t>⚡ Shoot Faster</t>
        </is>
      </c>
      <c r="B20" t="n">
        <v>9</v>
      </c>
      <c r="C20">
        <f>1.0+(0.08*(B20-1))</f>
        <v/>
      </c>
      <c r="D20">
        <f>ROUND(40*(1.2^(B20-1)),0)</f>
        <v/>
      </c>
    </row>
    <row r="21">
      <c r="A21" t="inlineStr">
        <is>
          <t>⚡ Shoot Faster</t>
        </is>
      </c>
      <c r="B21" t="n">
        <v>10</v>
      </c>
      <c r="C21">
        <f>1.0+(0.08*(B21-1))</f>
        <v/>
      </c>
      <c r="D21">
        <f>ROUND(40*(1.2^(B21-1)),0)</f>
        <v/>
      </c>
    </row>
    <row r="22">
      <c r="A22" t="inlineStr">
        <is>
          <t>➕ More Bullets</t>
        </is>
      </c>
      <c r="B22" t="n">
        <v>1</v>
      </c>
      <c r="C22">
        <f>1+(1*(B22-1))</f>
        <v/>
      </c>
      <c r="D22">
        <f>ROUND(150*(1.35^(B22-1)),0)</f>
        <v/>
      </c>
    </row>
    <row r="23">
      <c r="A23" t="inlineStr">
        <is>
          <t>➕ More Bullets</t>
        </is>
      </c>
      <c r="B23" t="n">
        <v>2</v>
      </c>
      <c r="C23">
        <f>1+(1*(B23-1))</f>
        <v/>
      </c>
      <c r="D23">
        <f>ROUND(150*(1.35^(B23-1)),0)</f>
        <v/>
      </c>
    </row>
    <row r="24">
      <c r="A24" t="inlineStr">
        <is>
          <t>➕ More Bullets</t>
        </is>
      </c>
      <c r="B24" t="n">
        <v>3</v>
      </c>
      <c r="C24">
        <f>1+(1*(B24-1))</f>
        <v/>
      </c>
      <c r="D24">
        <f>ROUND(150*(1.35^(B24-1)),0)</f>
        <v/>
      </c>
    </row>
    <row r="25">
      <c r="A25" t="inlineStr">
        <is>
          <t>➕ More Bullets</t>
        </is>
      </c>
      <c r="B25" t="n">
        <v>4</v>
      </c>
      <c r="C25">
        <f>1+(1*(B25-1))</f>
        <v/>
      </c>
      <c r="D25">
        <f>ROUND(150*(1.35^(B25-1)),0)</f>
        <v/>
      </c>
    </row>
    <row r="26">
      <c r="A26" t="inlineStr">
        <is>
          <t>➕ More Bullets</t>
        </is>
      </c>
      <c r="B26" t="n">
        <v>5</v>
      </c>
      <c r="C26">
        <f>1+(1*(B26-1))</f>
        <v/>
      </c>
      <c r="D26">
        <f>ROUND(150*(1.35^(B26-1)),0)</f>
        <v/>
      </c>
    </row>
    <row r="27">
      <c r="A27" t="inlineStr">
        <is>
          <t>➕ More Bullets</t>
        </is>
      </c>
      <c r="B27" t="n">
        <v>6</v>
      </c>
      <c r="C27">
        <f>1+(1*(B27-1))</f>
        <v/>
      </c>
      <c r="D27">
        <f>ROUND(150*(1.35^(B27-1)),0)</f>
        <v/>
      </c>
    </row>
    <row r="28">
      <c r="A28" t="inlineStr">
        <is>
          <t>➕ More Bullets</t>
        </is>
      </c>
      <c r="B28" t="n">
        <v>7</v>
      </c>
      <c r="C28">
        <f>1+(1*(B28-1))</f>
        <v/>
      </c>
      <c r="D28">
        <f>ROUND(150*(1.35^(B28-1)),0)</f>
        <v/>
      </c>
    </row>
    <row r="29">
      <c r="A29" t="inlineStr">
        <is>
          <t>➕ More Bullets</t>
        </is>
      </c>
      <c r="B29" t="n">
        <v>8</v>
      </c>
      <c r="C29">
        <f>1+(1*(B29-1))</f>
        <v/>
      </c>
      <c r="D29">
        <f>ROUND(150*(1.35^(B29-1)),0)</f>
        <v/>
      </c>
    </row>
    <row r="30">
      <c r="A30" t="inlineStr">
        <is>
          <t>➕ More Bullets</t>
        </is>
      </c>
      <c r="B30" t="n">
        <v>9</v>
      </c>
      <c r="C30">
        <f>1+(1*(B30-1))</f>
        <v/>
      </c>
      <c r="D30">
        <f>ROUND(150*(1.35^(B30-1)),0)</f>
        <v/>
      </c>
    </row>
    <row r="31">
      <c r="A31" t="inlineStr">
        <is>
          <t>➕ More Bullets</t>
        </is>
      </c>
      <c r="B31" t="n">
        <v>10</v>
      </c>
      <c r="C31">
        <f>1+(1*(B31-1))</f>
        <v/>
      </c>
      <c r="D31">
        <f>ROUND(150*(1.35^(B31-1)),0)</f>
        <v/>
      </c>
    </row>
    <row r="32">
      <c r="A32" t="inlineStr">
        <is>
          <t>🎯 Longer Range</t>
        </is>
      </c>
      <c r="B32" t="n">
        <v>1</v>
      </c>
      <c r="C32">
        <f>3.0+(0.2*(B32-1))</f>
        <v/>
      </c>
      <c r="D32">
        <f>ROUND(50*(1.18^(B32-1)),0)</f>
        <v/>
      </c>
    </row>
    <row r="33">
      <c r="A33" t="inlineStr">
        <is>
          <t>🎯 Longer Range</t>
        </is>
      </c>
      <c r="B33" t="n">
        <v>2</v>
      </c>
      <c r="C33">
        <f>3.0+(0.2*(B33-1))</f>
        <v/>
      </c>
      <c r="D33">
        <f>ROUND(50*(1.18^(B33-1)),0)</f>
        <v/>
      </c>
    </row>
    <row r="34">
      <c r="A34" t="inlineStr">
        <is>
          <t>🎯 Longer Range</t>
        </is>
      </c>
      <c r="B34" t="n">
        <v>3</v>
      </c>
      <c r="C34">
        <f>3.0+(0.2*(B34-1))</f>
        <v/>
      </c>
      <c r="D34">
        <f>ROUND(50*(1.18^(B34-1)),0)</f>
        <v/>
      </c>
    </row>
    <row r="35">
      <c r="A35" t="inlineStr">
        <is>
          <t>🎯 Longer Range</t>
        </is>
      </c>
      <c r="B35" t="n">
        <v>4</v>
      </c>
      <c r="C35">
        <f>3.0+(0.2*(B35-1))</f>
        <v/>
      </c>
      <c r="D35">
        <f>ROUND(50*(1.18^(B35-1)),0)</f>
        <v/>
      </c>
    </row>
    <row r="36">
      <c r="A36" t="inlineStr">
        <is>
          <t>🎯 Longer Range</t>
        </is>
      </c>
      <c r="B36" t="n">
        <v>5</v>
      </c>
      <c r="C36">
        <f>3.0+(0.2*(B36-1))</f>
        <v/>
      </c>
      <c r="D36">
        <f>ROUND(50*(1.18^(B36-1)),0)</f>
        <v/>
      </c>
    </row>
    <row r="37">
      <c r="A37" t="inlineStr">
        <is>
          <t>🎯 Longer Range</t>
        </is>
      </c>
      <c r="B37" t="n">
        <v>6</v>
      </c>
      <c r="C37">
        <f>3.0+(0.2*(B37-1))</f>
        <v/>
      </c>
      <c r="D37">
        <f>ROUND(50*(1.18^(B37-1)),0)</f>
        <v/>
      </c>
    </row>
    <row r="38">
      <c r="A38" t="inlineStr">
        <is>
          <t>🎯 Longer Range</t>
        </is>
      </c>
      <c r="B38" t="n">
        <v>7</v>
      </c>
      <c r="C38">
        <f>3.0+(0.2*(B38-1))</f>
        <v/>
      </c>
      <c r="D38">
        <f>ROUND(50*(1.18^(B38-1)),0)</f>
        <v/>
      </c>
    </row>
    <row r="39">
      <c r="A39" t="inlineStr">
        <is>
          <t>🎯 Longer Range</t>
        </is>
      </c>
      <c r="B39" t="n">
        <v>8</v>
      </c>
      <c r="C39">
        <f>3.0+(0.2*(B39-1))</f>
        <v/>
      </c>
      <c r="D39">
        <f>ROUND(50*(1.18^(B39-1)),0)</f>
        <v/>
      </c>
    </row>
    <row r="40">
      <c r="A40" t="inlineStr">
        <is>
          <t>🎯 Longer Range</t>
        </is>
      </c>
      <c r="B40" t="n">
        <v>9</v>
      </c>
      <c r="C40">
        <f>3.0+(0.2*(B40-1))</f>
        <v/>
      </c>
      <c r="D40">
        <f>ROUND(50*(1.18^(B40-1)),0)</f>
        <v/>
      </c>
    </row>
    <row r="41">
      <c r="A41" t="inlineStr">
        <is>
          <t>🎯 Longer Range</t>
        </is>
      </c>
      <c r="B41" t="n">
        <v>10</v>
      </c>
      <c r="C41">
        <f>3.0+(0.2*(B41-1))</f>
        <v/>
      </c>
      <c r="D41">
        <f>ROUND(50*(1.18^(B41-1)),0)</f>
        <v/>
      </c>
    </row>
    <row r="42">
      <c r="A42" t="inlineStr">
        <is>
          <t>💥 Bigger Boom</t>
        </is>
      </c>
      <c r="B42" t="n">
        <v>1</v>
      </c>
      <c r="C42">
        <f>0+(0.3*(B42-1))</f>
        <v/>
      </c>
      <c r="D42">
        <f>ROUND(120*(1.25^(B42-1)),0)</f>
        <v/>
      </c>
    </row>
    <row r="43">
      <c r="A43" t="inlineStr">
        <is>
          <t>💥 Bigger Boom</t>
        </is>
      </c>
      <c r="B43" t="n">
        <v>2</v>
      </c>
      <c r="C43">
        <f>0+(0.3*(B43-1))</f>
        <v/>
      </c>
      <c r="D43">
        <f>ROUND(120*(1.25^(B43-1)),0)</f>
        <v/>
      </c>
    </row>
    <row r="44">
      <c r="A44" t="inlineStr">
        <is>
          <t>💥 Bigger Boom</t>
        </is>
      </c>
      <c r="B44" t="n">
        <v>3</v>
      </c>
      <c r="C44">
        <f>0+(0.3*(B44-1))</f>
        <v/>
      </c>
      <c r="D44">
        <f>ROUND(120*(1.25^(B44-1)),0)</f>
        <v/>
      </c>
    </row>
    <row r="45">
      <c r="A45" t="inlineStr">
        <is>
          <t>💥 Bigger Boom</t>
        </is>
      </c>
      <c r="B45" t="n">
        <v>4</v>
      </c>
      <c r="C45">
        <f>0+(0.3*(B45-1))</f>
        <v/>
      </c>
      <c r="D45">
        <f>ROUND(120*(1.25^(B45-1)),0)</f>
        <v/>
      </c>
    </row>
    <row r="46">
      <c r="A46" t="inlineStr">
        <is>
          <t>💥 Bigger Boom</t>
        </is>
      </c>
      <c r="B46" t="n">
        <v>5</v>
      </c>
      <c r="C46">
        <f>0+(0.3*(B46-1))</f>
        <v/>
      </c>
      <c r="D46">
        <f>ROUND(120*(1.25^(B46-1)),0)</f>
        <v/>
      </c>
    </row>
    <row r="47">
      <c r="A47" t="inlineStr">
        <is>
          <t>💥 Bigger Boom</t>
        </is>
      </c>
      <c r="B47" t="n">
        <v>6</v>
      </c>
      <c r="C47">
        <f>0+(0.3*(B47-1))</f>
        <v/>
      </c>
      <c r="D47">
        <f>ROUND(120*(1.25^(B47-1)),0)</f>
        <v/>
      </c>
    </row>
    <row r="48">
      <c r="A48" t="inlineStr">
        <is>
          <t>💥 Bigger Boom</t>
        </is>
      </c>
      <c r="B48" t="n">
        <v>7</v>
      </c>
      <c r="C48">
        <f>0+(0.3*(B48-1))</f>
        <v/>
      </c>
      <c r="D48">
        <f>ROUND(120*(1.25^(B48-1)),0)</f>
        <v/>
      </c>
    </row>
    <row r="49">
      <c r="A49" t="inlineStr">
        <is>
          <t>💥 Bigger Boom</t>
        </is>
      </c>
      <c r="B49" t="n">
        <v>8</v>
      </c>
      <c r="C49">
        <f>0+(0.3*(B49-1))</f>
        <v/>
      </c>
      <c r="D49">
        <f>ROUND(120*(1.25^(B49-1)),0)</f>
        <v/>
      </c>
    </row>
    <row r="50">
      <c r="A50" t="inlineStr">
        <is>
          <t>💥 Bigger Boom</t>
        </is>
      </c>
      <c r="B50" t="n">
        <v>9</v>
      </c>
      <c r="C50">
        <f>0+(0.3*(B50-1))</f>
        <v/>
      </c>
      <c r="D50">
        <f>ROUND(120*(1.25^(B50-1)),0)</f>
        <v/>
      </c>
    </row>
    <row r="51">
      <c r="A51" t="inlineStr">
        <is>
          <t>💥 Bigger Boom</t>
        </is>
      </c>
      <c r="B51" t="n">
        <v>10</v>
      </c>
      <c r="C51">
        <f>0+(0.3*(B51-1))</f>
        <v/>
      </c>
      <c r="D51">
        <f>ROUND(120*(1.25^(B51-1)),0)</f>
        <v/>
      </c>
    </row>
    <row r="52">
      <c r="A52" t="inlineStr">
        <is>
          <t>❤️ More Hearts</t>
        </is>
      </c>
      <c r="B52" t="n">
        <v>1</v>
      </c>
      <c r="C52">
        <f>100+(20*(B52-1))</f>
        <v/>
      </c>
      <c r="D52">
        <f>ROUND(35*(1.18^(B52-1)),0)</f>
        <v/>
      </c>
    </row>
    <row r="53">
      <c r="A53" t="inlineStr">
        <is>
          <t>❤️ More Hearts</t>
        </is>
      </c>
      <c r="B53" t="n">
        <v>2</v>
      </c>
      <c r="C53">
        <f>100+(20*(B53-1))</f>
        <v/>
      </c>
      <c r="D53">
        <f>ROUND(35*(1.18^(B53-1)),0)</f>
        <v/>
      </c>
    </row>
    <row r="54">
      <c r="A54" t="inlineStr">
        <is>
          <t>❤️ More Hearts</t>
        </is>
      </c>
      <c r="B54" t="n">
        <v>3</v>
      </c>
      <c r="C54">
        <f>100+(20*(B54-1))</f>
        <v/>
      </c>
      <c r="D54">
        <f>ROUND(35*(1.18^(B54-1)),0)</f>
        <v/>
      </c>
    </row>
    <row r="55">
      <c r="A55" t="inlineStr">
        <is>
          <t>❤️ More Hearts</t>
        </is>
      </c>
      <c r="B55" t="n">
        <v>4</v>
      </c>
      <c r="C55">
        <f>100+(20*(B55-1))</f>
        <v/>
      </c>
      <c r="D55">
        <f>ROUND(35*(1.18^(B55-1)),0)</f>
        <v/>
      </c>
    </row>
    <row r="56">
      <c r="A56" t="inlineStr">
        <is>
          <t>❤️ More Hearts</t>
        </is>
      </c>
      <c r="B56" t="n">
        <v>5</v>
      </c>
      <c r="C56">
        <f>100+(20*(B56-1))</f>
        <v/>
      </c>
      <c r="D56">
        <f>ROUND(35*(1.18^(B56-1)),0)</f>
        <v/>
      </c>
    </row>
    <row r="57">
      <c r="A57" t="inlineStr">
        <is>
          <t>❤️ More Hearts</t>
        </is>
      </c>
      <c r="B57" t="n">
        <v>6</v>
      </c>
      <c r="C57">
        <f>100+(20*(B57-1))</f>
        <v/>
      </c>
      <c r="D57">
        <f>ROUND(35*(1.18^(B57-1)),0)</f>
        <v/>
      </c>
    </row>
    <row r="58">
      <c r="A58" t="inlineStr">
        <is>
          <t>❤️ More Hearts</t>
        </is>
      </c>
      <c r="B58" t="n">
        <v>7</v>
      </c>
      <c r="C58">
        <f>100+(20*(B58-1))</f>
        <v/>
      </c>
      <c r="D58">
        <f>ROUND(35*(1.18^(B58-1)),0)</f>
        <v/>
      </c>
    </row>
    <row r="59">
      <c r="A59" t="inlineStr">
        <is>
          <t>❤️ More Hearts</t>
        </is>
      </c>
      <c r="B59" t="n">
        <v>8</v>
      </c>
      <c r="C59">
        <f>100+(20*(B59-1))</f>
        <v/>
      </c>
      <c r="D59">
        <f>ROUND(35*(1.18^(B59-1)),0)</f>
        <v/>
      </c>
    </row>
    <row r="60">
      <c r="A60" t="inlineStr">
        <is>
          <t>❤️ More Hearts</t>
        </is>
      </c>
      <c r="B60" t="n">
        <v>9</v>
      </c>
      <c r="C60">
        <f>100+(20*(B60-1))</f>
        <v/>
      </c>
      <c r="D60">
        <f>ROUND(35*(1.18^(B60-1)),0)</f>
        <v/>
      </c>
    </row>
    <row r="61">
      <c r="A61" t="inlineStr">
        <is>
          <t>❤️ More Hearts</t>
        </is>
      </c>
      <c r="B61" t="n">
        <v>10</v>
      </c>
      <c r="C61">
        <f>100+(20*(B61-1))</f>
        <v/>
      </c>
      <c r="D61">
        <f>ROUND(35*(1.18^(B61-1)),0)</f>
        <v/>
      </c>
    </row>
    <row r="62">
      <c r="A62" t="inlineStr">
        <is>
          <t>👟 Run Faster</t>
        </is>
      </c>
      <c r="B62" t="n">
        <v>1</v>
      </c>
      <c r="C62">
        <f>4.0+(0.15*(B62-1))</f>
        <v/>
      </c>
      <c r="D62">
        <f>ROUND(45*(1.2^(B62-1)),0)</f>
        <v/>
      </c>
    </row>
    <row r="63">
      <c r="A63" t="inlineStr">
        <is>
          <t>👟 Run Faster</t>
        </is>
      </c>
      <c r="B63" t="n">
        <v>2</v>
      </c>
      <c r="C63">
        <f>4.0+(0.15*(B63-1))</f>
        <v/>
      </c>
      <c r="D63">
        <f>ROUND(45*(1.2^(B63-1)),0)</f>
        <v/>
      </c>
    </row>
    <row r="64">
      <c r="A64" t="inlineStr">
        <is>
          <t>👟 Run Faster</t>
        </is>
      </c>
      <c r="B64" t="n">
        <v>3</v>
      </c>
      <c r="C64">
        <f>4.0+(0.15*(B64-1))</f>
        <v/>
      </c>
      <c r="D64">
        <f>ROUND(45*(1.2^(B64-1)),0)</f>
        <v/>
      </c>
    </row>
    <row r="65">
      <c r="A65" t="inlineStr">
        <is>
          <t>👟 Run Faster</t>
        </is>
      </c>
      <c r="B65" t="n">
        <v>4</v>
      </c>
      <c r="C65">
        <f>4.0+(0.15*(B65-1))</f>
        <v/>
      </c>
      <c r="D65">
        <f>ROUND(45*(1.2^(B65-1)),0)</f>
        <v/>
      </c>
    </row>
    <row r="66">
      <c r="A66" t="inlineStr">
        <is>
          <t>👟 Run Faster</t>
        </is>
      </c>
      <c r="B66" t="n">
        <v>5</v>
      </c>
      <c r="C66">
        <f>4.0+(0.15*(B66-1))</f>
        <v/>
      </c>
      <c r="D66">
        <f>ROUND(45*(1.2^(B66-1)),0)</f>
        <v/>
      </c>
    </row>
    <row r="67">
      <c r="A67" t="inlineStr">
        <is>
          <t>👟 Run Faster</t>
        </is>
      </c>
      <c r="B67" t="n">
        <v>6</v>
      </c>
      <c r="C67">
        <f>4.0+(0.15*(B67-1))</f>
        <v/>
      </c>
      <c r="D67">
        <f>ROUND(45*(1.2^(B67-1)),0)</f>
        <v/>
      </c>
    </row>
    <row r="68">
      <c r="A68" t="inlineStr">
        <is>
          <t>👟 Run Faster</t>
        </is>
      </c>
      <c r="B68" t="n">
        <v>7</v>
      </c>
      <c r="C68">
        <f>4.0+(0.15*(B68-1))</f>
        <v/>
      </c>
      <c r="D68">
        <f>ROUND(45*(1.2^(B68-1)),0)</f>
        <v/>
      </c>
    </row>
    <row r="69">
      <c r="A69" t="inlineStr">
        <is>
          <t>👟 Run Faster</t>
        </is>
      </c>
      <c r="B69" t="n">
        <v>8</v>
      </c>
      <c r="C69">
        <f>4.0+(0.15*(B69-1))</f>
        <v/>
      </c>
      <c r="D69">
        <f>ROUND(45*(1.2^(B69-1)),0)</f>
        <v/>
      </c>
    </row>
    <row r="70">
      <c r="A70" t="inlineStr">
        <is>
          <t>👟 Run Faster</t>
        </is>
      </c>
      <c r="B70" t="n">
        <v>9</v>
      </c>
      <c r="C70">
        <f>4.0+(0.15*(B70-1))</f>
        <v/>
      </c>
      <c r="D70">
        <f>ROUND(45*(1.2^(B70-1)),0)</f>
        <v/>
      </c>
    </row>
    <row r="71">
      <c r="A71" t="inlineStr">
        <is>
          <t>👟 Run Faster</t>
        </is>
      </c>
      <c r="B71" t="n">
        <v>10</v>
      </c>
      <c r="C71">
        <f>4.0+(0.15*(B71-1))</f>
        <v/>
      </c>
      <c r="D71">
        <f>ROUND(45*(1.2^(B71-1)),0)</f>
        <v/>
      </c>
    </row>
    <row r="72">
      <c r="A72" t="inlineStr">
        <is>
          <t>🩹 Heal</t>
        </is>
      </c>
      <c r="B72" t="n">
        <v>1</v>
      </c>
      <c r="C72">
        <f>0+(3*(B72-1))</f>
        <v/>
      </c>
      <c r="D72">
        <f>ROUND(90*(1.2^(B72-1)),0)</f>
        <v/>
      </c>
    </row>
    <row r="73">
      <c r="A73" t="inlineStr">
        <is>
          <t>🩹 Heal</t>
        </is>
      </c>
      <c r="B73" t="n">
        <v>2</v>
      </c>
      <c r="C73">
        <f>0+(3*(B73-1))</f>
        <v/>
      </c>
      <c r="D73">
        <f>ROUND(90*(1.2^(B73-1)),0)</f>
        <v/>
      </c>
    </row>
    <row r="74">
      <c r="A74" t="inlineStr">
        <is>
          <t>🩹 Heal</t>
        </is>
      </c>
      <c r="B74" t="n">
        <v>3</v>
      </c>
      <c r="C74">
        <f>0+(3*(B74-1))</f>
        <v/>
      </c>
      <c r="D74">
        <f>ROUND(90*(1.2^(B74-1)),0)</f>
        <v/>
      </c>
    </row>
    <row r="75">
      <c r="A75" t="inlineStr">
        <is>
          <t>🩹 Heal</t>
        </is>
      </c>
      <c r="B75" t="n">
        <v>4</v>
      </c>
      <c r="C75">
        <f>0+(3*(B75-1))</f>
        <v/>
      </c>
      <c r="D75">
        <f>ROUND(90*(1.2^(B75-1)),0)</f>
        <v/>
      </c>
    </row>
    <row r="76">
      <c r="A76" t="inlineStr">
        <is>
          <t>🩹 Heal</t>
        </is>
      </c>
      <c r="B76" t="n">
        <v>5</v>
      </c>
      <c r="C76">
        <f>0+(3*(B76-1))</f>
        <v/>
      </c>
      <c r="D76">
        <f>ROUND(90*(1.2^(B76-1)),0)</f>
        <v/>
      </c>
    </row>
    <row r="77">
      <c r="A77" t="inlineStr">
        <is>
          <t>🩹 Heal</t>
        </is>
      </c>
      <c r="B77" t="n">
        <v>6</v>
      </c>
      <c r="C77">
        <f>0+(3*(B77-1))</f>
        <v/>
      </c>
      <c r="D77">
        <f>ROUND(90*(1.2^(B77-1)),0)</f>
        <v/>
      </c>
    </row>
    <row r="78">
      <c r="A78" t="inlineStr">
        <is>
          <t>🩹 Heal</t>
        </is>
      </c>
      <c r="B78" t="n">
        <v>7</v>
      </c>
      <c r="C78">
        <f>0+(3*(B78-1))</f>
        <v/>
      </c>
      <c r="D78">
        <f>ROUND(90*(1.2^(B78-1)),0)</f>
        <v/>
      </c>
    </row>
    <row r="79">
      <c r="A79" t="inlineStr">
        <is>
          <t>🩹 Heal</t>
        </is>
      </c>
      <c r="B79" t="n">
        <v>8</v>
      </c>
      <c r="C79">
        <f>0+(3*(B79-1))</f>
        <v/>
      </c>
      <c r="D79">
        <f>ROUND(90*(1.2^(B79-1)),0)</f>
        <v/>
      </c>
    </row>
    <row r="80">
      <c r="A80" t="inlineStr">
        <is>
          <t>🩹 Heal</t>
        </is>
      </c>
      <c r="B80" t="n">
        <v>9</v>
      </c>
      <c r="C80">
        <f>0+(3*(B80-1))</f>
        <v/>
      </c>
      <c r="D80">
        <f>ROUND(90*(1.2^(B80-1)),0)</f>
        <v/>
      </c>
    </row>
    <row r="81">
      <c r="A81" t="inlineStr">
        <is>
          <t>🩹 Heal</t>
        </is>
      </c>
      <c r="B81" t="n">
        <v>10</v>
      </c>
      <c r="C81">
        <f>0+(3*(B81-1))</f>
        <v/>
      </c>
      <c r="D81">
        <f>ROUND(90*(1.2^(B81-1)),0)</f>
        <v/>
      </c>
    </row>
    <row r="82">
      <c r="A82" t="inlineStr">
        <is>
          <t>🛡 Shield</t>
        </is>
      </c>
      <c r="B82" t="n">
        <v>1</v>
      </c>
      <c r="C82">
        <f>0+(5*(B82-1))</f>
        <v/>
      </c>
      <c r="D82">
        <f>ROUND(110*(1.22^(B82-1)),0)</f>
        <v/>
      </c>
    </row>
    <row r="83">
      <c r="A83" t="inlineStr">
        <is>
          <t>🛡 Shield</t>
        </is>
      </c>
      <c r="B83" t="n">
        <v>2</v>
      </c>
      <c r="C83">
        <f>0+(5*(B83-1))</f>
        <v/>
      </c>
      <c r="D83">
        <f>ROUND(110*(1.22^(B83-1)),0)</f>
        <v/>
      </c>
    </row>
    <row r="84">
      <c r="A84" t="inlineStr">
        <is>
          <t>🛡 Shield</t>
        </is>
      </c>
      <c r="B84" t="n">
        <v>3</v>
      </c>
      <c r="C84">
        <f>0+(5*(B84-1))</f>
        <v/>
      </c>
      <c r="D84">
        <f>ROUND(110*(1.22^(B84-1)),0)</f>
        <v/>
      </c>
    </row>
    <row r="85">
      <c r="A85" t="inlineStr">
        <is>
          <t>🛡 Shield</t>
        </is>
      </c>
      <c r="B85" t="n">
        <v>4</v>
      </c>
      <c r="C85">
        <f>0+(5*(B85-1))</f>
        <v/>
      </c>
      <c r="D85">
        <f>ROUND(110*(1.22^(B85-1)),0)</f>
        <v/>
      </c>
    </row>
    <row r="86">
      <c r="A86" t="inlineStr">
        <is>
          <t>🛡 Shield</t>
        </is>
      </c>
      <c r="B86" t="n">
        <v>5</v>
      </c>
      <c r="C86">
        <f>0+(5*(B86-1))</f>
        <v/>
      </c>
      <c r="D86">
        <f>ROUND(110*(1.22^(B86-1)),0)</f>
        <v/>
      </c>
    </row>
    <row r="87">
      <c r="A87" t="inlineStr">
        <is>
          <t>🛡 Shield</t>
        </is>
      </c>
      <c r="B87" t="n">
        <v>6</v>
      </c>
      <c r="C87">
        <f>0+(5*(B87-1))</f>
        <v/>
      </c>
      <c r="D87">
        <f>ROUND(110*(1.22^(B87-1)),0)</f>
        <v/>
      </c>
    </row>
    <row r="88">
      <c r="A88" t="inlineStr">
        <is>
          <t>🛡 Shield</t>
        </is>
      </c>
      <c r="B88" t="n">
        <v>7</v>
      </c>
      <c r="C88">
        <f>0+(5*(B88-1))</f>
        <v/>
      </c>
      <c r="D88">
        <f>ROUND(110*(1.22^(B88-1)),0)</f>
        <v/>
      </c>
    </row>
    <row r="89">
      <c r="A89" t="inlineStr">
        <is>
          <t>🛡 Shield</t>
        </is>
      </c>
      <c r="B89" t="n">
        <v>8</v>
      </c>
      <c r="C89">
        <f>0+(5*(B89-1))</f>
        <v/>
      </c>
      <c r="D89">
        <f>ROUND(110*(1.22^(B89-1)),0)</f>
        <v/>
      </c>
    </row>
    <row r="90">
      <c r="A90" t="inlineStr">
        <is>
          <t>🛡 Shield</t>
        </is>
      </c>
      <c r="B90" t="n">
        <v>9</v>
      </c>
      <c r="C90">
        <f>0+(5*(B90-1))</f>
        <v/>
      </c>
      <c r="D90">
        <f>ROUND(110*(1.22^(B90-1)),0)</f>
        <v/>
      </c>
    </row>
    <row r="91">
      <c r="A91" t="inlineStr">
        <is>
          <t>🛡 Shield</t>
        </is>
      </c>
      <c r="B91" t="n">
        <v>10</v>
      </c>
      <c r="C91">
        <f>0+(5*(B91-1))</f>
        <v/>
      </c>
      <c r="D91">
        <f>ROUND(110*(1.22^(B91-1)),0)</f>
        <v/>
      </c>
    </row>
    <row r="92">
      <c r="A92" t="inlineStr">
        <is>
          <t>🧲 Bigger Magnet</t>
        </is>
      </c>
      <c r="B92" t="n">
        <v>1</v>
      </c>
      <c r="C92">
        <f>1.5+(0.2*(B92-1))</f>
        <v/>
      </c>
      <c r="D92">
        <f>ROUND(60*(1.18^(B92-1)),0)</f>
        <v/>
      </c>
    </row>
    <row r="93">
      <c r="A93" t="inlineStr">
        <is>
          <t>🧲 Bigger Magnet</t>
        </is>
      </c>
      <c r="B93" t="n">
        <v>2</v>
      </c>
      <c r="C93">
        <f>1.5+(0.2*(B93-1))</f>
        <v/>
      </c>
      <c r="D93">
        <f>ROUND(60*(1.18^(B93-1)),0)</f>
        <v/>
      </c>
    </row>
    <row r="94">
      <c r="A94" t="inlineStr">
        <is>
          <t>🧲 Bigger Magnet</t>
        </is>
      </c>
      <c r="B94" t="n">
        <v>3</v>
      </c>
      <c r="C94">
        <f>1.5+(0.2*(B94-1))</f>
        <v/>
      </c>
      <c r="D94">
        <f>ROUND(60*(1.18^(B94-1)),0)</f>
        <v/>
      </c>
    </row>
    <row r="95">
      <c r="A95" t="inlineStr">
        <is>
          <t>🧲 Bigger Magnet</t>
        </is>
      </c>
      <c r="B95" t="n">
        <v>4</v>
      </c>
      <c r="C95">
        <f>1.5+(0.2*(B95-1))</f>
        <v/>
      </c>
      <c r="D95">
        <f>ROUND(60*(1.18^(B95-1)),0)</f>
        <v/>
      </c>
    </row>
    <row r="96">
      <c r="A96" t="inlineStr">
        <is>
          <t>🧲 Bigger Magnet</t>
        </is>
      </c>
      <c r="B96" t="n">
        <v>5</v>
      </c>
      <c r="C96">
        <f>1.5+(0.2*(B96-1))</f>
        <v/>
      </c>
      <c r="D96">
        <f>ROUND(60*(1.18^(B96-1)),0)</f>
        <v/>
      </c>
    </row>
    <row r="97">
      <c r="A97" t="inlineStr">
        <is>
          <t>🧲 Bigger Magnet</t>
        </is>
      </c>
      <c r="B97" t="n">
        <v>6</v>
      </c>
      <c r="C97">
        <f>1.5+(0.2*(B97-1))</f>
        <v/>
      </c>
      <c r="D97">
        <f>ROUND(60*(1.18^(B97-1)),0)</f>
        <v/>
      </c>
    </row>
    <row r="98">
      <c r="A98" t="inlineStr">
        <is>
          <t>🧲 Bigger Magnet</t>
        </is>
      </c>
      <c r="B98" t="n">
        <v>7</v>
      </c>
      <c r="C98">
        <f>1.5+(0.2*(B98-1))</f>
        <v/>
      </c>
      <c r="D98">
        <f>ROUND(60*(1.18^(B98-1)),0)</f>
        <v/>
      </c>
    </row>
    <row r="99">
      <c r="A99" t="inlineStr">
        <is>
          <t>🧲 Bigger Magnet</t>
        </is>
      </c>
      <c r="B99" t="n">
        <v>8</v>
      </c>
      <c r="C99">
        <f>1.5+(0.2*(B99-1))</f>
        <v/>
      </c>
      <c r="D99">
        <f>ROUND(60*(1.18^(B99-1)),0)</f>
        <v/>
      </c>
    </row>
    <row r="100">
      <c r="A100" t="inlineStr">
        <is>
          <t>🧲 Bigger Magnet</t>
        </is>
      </c>
      <c r="B100" t="n">
        <v>9</v>
      </c>
      <c r="C100">
        <f>1.5+(0.2*(B100-1))</f>
        <v/>
      </c>
      <c r="D100">
        <f>ROUND(60*(1.18^(B100-1)),0)</f>
        <v/>
      </c>
    </row>
    <row r="101">
      <c r="A101" t="inlineStr">
        <is>
          <t>🧲 Bigger Magnet</t>
        </is>
      </c>
      <c r="B101" t="n">
        <v>10</v>
      </c>
      <c r="C101">
        <f>1.5+(0.2*(B101-1))</f>
        <v/>
      </c>
      <c r="D101">
        <f>ROUND(60*(1.18^(B101-1)),0)</f>
        <v/>
      </c>
    </row>
    <row r="102">
      <c r="A102" t="inlineStr">
        <is>
          <t>🪙 More Coins</t>
        </is>
      </c>
      <c r="B102" t="n">
        <v>1</v>
      </c>
      <c r="C102">
        <f>0+(5*(B102-1))</f>
        <v/>
      </c>
      <c r="D102">
        <f>ROUND(70*(1.22^(B102-1)),0)</f>
        <v/>
      </c>
    </row>
    <row r="103">
      <c r="A103" t="inlineStr">
        <is>
          <t>🪙 More Coins</t>
        </is>
      </c>
      <c r="B103" t="n">
        <v>2</v>
      </c>
      <c r="C103">
        <f>0+(5*(B103-1))</f>
        <v/>
      </c>
      <c r="D103">
        <f>ROUND(70*(1.22^(B103-1)),0)</f>
        <v/>
      </c>
    </row>
    <row r="104">
      <c r="A104" t="inlineStr">
        <is>
          <t>🪙 More Coins</t>
        </is>
      </c>
      <c r="B104" t="n">
        <v>3</v>
      </c>
      <c r="C104">
        <f>0+(5*(B104-1))</f>
        <v/>
      </c>
      <c r="D104">
        <f>ROUND(70*(1.22^(B104-1)),0)</f>
        <v/>
      </c>
    </row>
    <row r="105">
      <c r="A105" t="inlineStr">
        <is>
          <t>🪙 More Coins</t>
        </is>
      </c>
      <c r="B105" t="n">
        <v>4</v>
      </c>
      <c r="C105">
        <f>0+(5*(B105-1))</f>
        <v/>
      </c>
      <c r="D105">
        <f>ROUND(70*(1.22^(B105-1)),0)</f>
        <v/>
      </c>
    </row>
    <row r="106">
      <c r="A106" t="inlineStr">
        <is>
          <t>🪙 More Coins</t>
        </is>
      </c>
      <c r="B106" t="n">
        <v>5</v>
      </c>
      <c r="C106">
        <f>0+(5*(B106-1))</f>
        <v/>
      </c>
      <c r="D106">
        <f>ROUND(70*(1.22^(B106-1)),0)</f>
        <v/>
      </c>
    </row>
    <row r="107">
      <c r="A107" t="inlineStr">
        <is>
          <t>🪙 More Coins</t>
        </is>
      </c>
      <c r="B107" t="n">
        <v>6</v>
      </c>
      <c r="C107">
        <f>0+(5*(B107-1))</f>
        <v/>
      </c>
      <c r="D107">
        <f>ROUND(70*(1.22^(B107-1)),0)</f>
        <v/>
      </c>
    </row>
    <row r="108">
      <c r="A108" t="inlineStr">
        <is>
          <t>🪙 More Coins</t>
        </is>
      </c>
      <c r="B108" t="n">
        <v>7</v>
      </c>
      <c r="C108">
        <f>0+(5*(B108-1))</f>
        <v/>
      </c>
      <c r="D108">
        <f>ROUND(70*(1.22^(B108-1)),0)</f>
        <v/>
      </c>
    </row>
    <row r="109">
      <c r="A109" t="inlineStr">
        <is>
          <t>🪙 More Coins</t>
        </is>
      </c>
      <c r="B109" t="n">
        <v>8</v>
      </c>
      <c r="C109">
        <f>0+(5*(B109-1))</f>
        <v/>
      </c>
      <c r="D109">
        <f>ROUND(70*(1.22^(B109-1)),0)</f>
        <v/>
      </c>
    </row>
    <row r="110">
      <c r="A110" t="inlineStr">
        <is>
          <t>🪙 More Coins</t>
        </is>
      </c>
      <c r="B110" t="n">
        <v>9</v>
      </c>
      <c r="C110">
        <f>0+(5*(B110-1))</f>
        <v/>
      </c>
      <c r="D110">
        <f>ROUND(70*(1.22^(B110-1)),0)</f>
        <v/>
      </c>
    </row>
    <row r="111">
      <c r="A111" t="inlineStr">
        <is>
          <t>🪙 More Coins</t>
        </is>
      </c>
      <c r="B111" t="n">
        <v>10</v>
      </c>
      <c r="C111">
        <f>0+(5*(B111-1))</f>
        <v/>
      </c>
      <c r="D111">
        <f>ROUND(70*(1.22^(B111-1)),0)</f>
        <v/>
      </c>
    </row>
    <row r="112">
      <c r="A112" t="inlineStr">
        <is>
          <t>🎁 Lucky Box</t>
        </is>
      </c>
      <c r="B112" t="n">
        <v>1</v>
      </c>
      <c r="C112">
        <f>0+(5*(B112-1))</f>
        <v/>
      </c>
      <c r="D112">
        <f>ROUND(150*(1.25^(B112-1)),0)</f>
        <v/>
      </c>
    </row>
    <row r="113">
      <c r="A113" t="inlineStr">
        <is>
          <t>🎁 Lucky Box</t>
        </is>
      </c>
      <c r="B113" t="n">
        <v>2</v>
      </c>
      <c r="C113">
        <f>0+(5*(B113-1))</f>
        <v/>
      </c>
      <c r="D113">
        <f>ROUND(150*(1.25^(B113-1)),0)</f>
        <v/>
      </c>
    </row>
    <row r="114">
      <c r="A114" t="inlineStr">
        <is>
          <t>🎁 Lucky Box</t>
        </is>
      </c>
      <c r="B114" t="n">
        <v>3</v>
      </c>
      <c r="C114">
        <f>0+(5*(B114-1))</f>
        <v/>
      </c>
      <c r="D114">
        <f>ROUND(150*(1.25^(B114-1)),0)</f>
        <v/>
      </c>
    </row>
    <row r="115">
      <c r="A115" t="inlineStr">
        <is>
          <t>🎁 Lucky Box</t>
        </is>
      </c>
      <c r="B115" t="n">
        <v>4</v>
      </c>
      <c r="C115">
        <f>0+(5*(B115-1))</f>
        <v/>
      </c>
      <c r="D115">
        <f>ROUND(150*(1.25^(B115-1)),0)</f>
        <v/>
      </c>
    </row>
    <row r="116">
      <c r="A116" t="inlineStr">
        <is>
          <t>🎁 Lucky Box</t>
        </is>
      </c>
      <c r="B116" t="n">
        <v>5</v>
      </c>
      <c r="C116">
        <f>0+(5*(B116-1))</f>
        <v/>
      </c>
      <c r="D116">
        <f>ROUND(150*(1.25^(B116-1)),0)</f>
        <v/>
      </c>
    </row>
    <row r="117">
      <c r="A117" t="inlineStr">
        <is>
          <t>🎁 Lucky Box</t>
        </is>
      </c>
      <c r="B117" t="n">
        <v>6</v>
      </c>
      <c r="C117">
        <f>0+(5*(B117-1))</f>
        <v/>
      </c>
      <c r="D117">
        <f>ROUND(150*(1.25^(B117-1)),0)</f>
        <v/>
      </c>
    </row>
    <row r="118">
      <c r="A118" t="inlineStr">
        <is>
          <t>🎁 Lucky Box</t>
        </is>
      </c>
      <c r="B118" t="n">
        <v>7</v>
      </c>
      <c r="C118">
        <f>0+(5*(B118-1))</f>
        <v/>
      </c>
      <c r="D118">
        <f>ROUND(150*(1.25^(B118-1)),0)</f>
        <v/>
      </c>
    </row>
    <row r="119">
      <c r="A119" t="inlineStr">
        <is>
          <t>🎁 Lucky Box</t>
        </is>
      </c>
      <c r="B119" t="n">
        <v>8</v>
      </c>
      <c r="C119">
        <f>0+(5*(B119-1))</f>
        <v/>
      </c>
      <c r="D119">
        <f>ROUND(150*(1.25^(B119-1)),0)</f>
        <v/>
      </c>
    </row>
    <row r="120">
      <c r="A120" t="inlineStr">
        <is>
          <t>🎁 Lucky Box</t>
        </is>
      </c>
      <c r="B120" t="n">
        <v>9</v>
      </c>
      <c r="C120">
        <f>0+(5*(B120-1))</f>
        <v/>
      </c>
      <c r="D120">
        <f>ROUND(150*(1.25^(B120-1)),0)</f>
        <v/>
      </c>
    </row>
    <row r="121">
      <c r="A121" t="inlineStr">
        <is>
          <t>🎁 Lucky Box</t>
        </is>
      </c>
      <c r="B121" t="n">
        <v>10</v>
      </c>
      <c r="C121">
        <f>0+(5*(B121-1))</f>
        <v/>
      </c>
      <c r="D121">
        <f>ROUND(150*(1.25^(B121-1)),0)</f>
        <v/>
      </c>
    </row>
    <row r="122">
      <c r="A122" t="inlineStr">
        <is>
          <t>⭐ Lucky</t>
        </is>
      </c>
      <c r="B122" t="n">
        <v>1</v>
      </c>
      <c r="C122">
        <f>0+(5*(B122-1))</f>
        <v/>
      </c>
      <c r="D122">
        <f>ROUND(180*(1.3^(B122-1)),0)</f>
        <v/>
      </c>
    </row>
    <row r="123">
      <c r="A123" t="inlineStr">
        <is>
          <t>⭐ Lucky</t>
        </is>
      </c>
      <c r="B123" t="n">
        <v>2</v>
      </c>
      <c r="C123">
        <f>0+(5*(B123-1))</f>
        <v/>
      </c>
      <c r="D123">
        <f>ROUND(180*(1.3^(B123-1)),0)</f>
        <v/>
      </c>
    </row>
    <row r="124">
      <c r="A124" t="inlineStr">
        <is>
          <t>⭐ Lucky</t>
        </is>
      </c>
      <c r="B124" t="n">
        <v>3</v>
      </c>
      <c r="C124">
        <f>0+(5*(B124-1))</f>
        <v/>
      </c>
      <c r="D124">
        <f>ROUND(180*(1.3^(B124-1)),0)</f>
        <v/>
      </c>
    </row>
    <row r="125">
      <c r="A125" t="inlineStr">
        <is>
          <t>⭐ Lucky</t>
        </is>
      </c>
      <c r="B125" t="n">
        <v>4</v>
      </c>
      <c r="C125">
        <f>0+(5*(B125-1))</f>
        <v/>
      </c>
      <c r="D125">
        <f>ROUND(180*(1.3^(B125-1)),0)</f>
        <v/>
      </c>
    </row>
    <row r="126">
      <c r="A126" t="inlineStr">
        <is>
          <t>⭐ Lucky</t>
        </is>
      </c>
      <c r="B126" t="n">
        <v>5</v>
      </c>
      <c r="C126">
        <f>0+(5*(B126-1))</f>
        <v/>
      </c>
      <c r="D126">
        <f>ROUND(180*(1.3^(B126-1)),0)</f>
        <v/>
      </c>
    </row>
    <row r="127">
      <c r="A127" t="inlineStr">
        <is>
          <t>⭐ Lucky</t>
        </is>
      </c>
      <c r="B127" t="n">
        <v>6</v>
      </c>
      <c r="C127">
        <f>0+(5*(B127-1))</f>
        <v/>
      </c>
      <c r="D127">
        <f>ROUND(180*(1.3^(B127-1)),0)</f>
        <v/>
      </c>
    </row>
    <row r="128">
      <c r="A128" t="inlineStr">
        <is>
          <t>⭐ Lucky</t>
        </is>
      </c>
      <c r="B128" t="n">
        <v>7</v>
      </c>
      <c r="C128">
        <f>0+(5*(B128-1))</f>
        <v/>
      </c>
      <c r="D128">
        <f>ROUND(180*(1.3^(B128-1)),0)</f>
        <v/>
      </c>
    </row>
    <row r="129">
      <c r="A129" t="inlineStr">
        <is>
          <t>⭐ Lucky</t>
        </is>
      </c>
      <c r="B129" t="n">
        <v>8</v>
      </c>
      <c r="C129">
        <f>0+(5*(B129-1))</f>
        <v/>
      </c>
      <c r="D129">
        <f>ROUND(180*(1.3^(B129-1)),0)</f>
        <v/>
      </c>
    </row>
    <row r="130">
      <c r="A130" t="inlineStr">
        <is>
          <t>⭐ Lucky</t>
        </is>
      </c>
      <c r="B130" t="n">
        <v>9</v>
      </c>
      <c r="C130">
        <f>0+(5*(B130-1))</f>
        <v/>
      </c>
      <c r="D130">
        <f>ROUND(180*(1.3^(B130-1)),0)</f>
        <v/>
      </c>
    </row>
    <row r="131">
      <c r="A131" t="inlineStr">
        <is>
          <t>⭐ Lucky</t>
        </is>
      </c>
      <c r="B131" t="n">
        <v>10</v>
      </c>
      <c r="C131">
        <f>0+(5*(B131-1))</f>
        <v/>
      </c>
      <c r="D131">
        <f>ROUND(180*(1.3^(B131-1)),0)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2026-07-17T15:52:06Z</dcterms:created>
  <dcterms:modified xmlns:dcterms="http://purl.org/dc/terms/" xmlns:xsi="http://www.w3.org/2001/XMLSchema-instance" xsi:type="dcterms:W3CDTF">2026-07-17T15:52:06Z</dcterms:modified>
</cp:coreProperties>
</file>